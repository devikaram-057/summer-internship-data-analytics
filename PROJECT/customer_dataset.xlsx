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c50dd9becaa4ddf/Documents/INTERNSHIP/PROJECT/"/>
    </mc:Choice>
  </mc:AlternateContent>
  <xr:revisionPtr revIDLastSave="0" documentId="14_{0E7D55FE-8C88-47FA-8651-7D79FB87CF13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Customer Data" sheetId="1" r:id="rId1"/>
    <sheet name="Summary" sheetId="2" r:id="rId2"/>
  </sheets>
  <definedNames>
    <definedName name="_xlnm._FilterDatabase" localSheetId="0" hidden="1">'Customer Data'!$A$1:$H$31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B4" i="2"/>
</calcChain>
</file>

<file path=xl/sharedStrings.xml><?xml version="1.0" encoding="utf-8"?>
<sst xmlns="http://schemas.openxmlformats.org/spreadsheetml/2006/main" count="167" uniqueCount="90">
  <si>
    <t>CustomerID</t>
  </si>
  <si>
    <t>Name</t>
  </si>
  <si>
    <t>Age</t>
  </si>
  <si>
    <t>Gender</t>
  </si>
  <si>
    <t>Country</t>
  </si>
  <si>
    <t>Alice</t>
  </si>
  <si>
    <t>F</t>
  </si>
  <si>
    <t>USA</t>
  </si>
  <si>
    <t>Laptop</t>
  </si>
  <si>
    <t>2024-02-10</t>
  </si>
  <si>
    <t>Bob</t>
  </si>
  <si>
    <t>M</t>
  </si>
  <si>
    <t>Canada</t>
  </si>
  <si>
    <t>Smartphone</t>
  </si>
  <si>
    <t>2024-03-12</t>
  </si>
  <si>
    <t>Charlie</t>
  </si>
  <si>
    <t>UK</t>
  </si>
  <si>
    <t>Tablet</t>
  </si>
  <si>
    <t>2024-01-22</t>
  </si>
  <si>
    <t>Diana</t>
  </si>
  <si>
    <t>2024-01-28</t>
  </si>
  <si>
    <t>Ethan</t>
  </si>
  <si>
    <t>Australia</t>
  </si>
  <si>
    <t>Speaker</t>
  </si>
  <si>
    <t>2024-01-04</t>
  </si>
  <si>
    <t>Fiona</t>
  </si>
  <si>
    <t>India</t>
  </si>
  <si>
    <t>Mouse</t>
  </si>
  <si>
    <t>2024-02-23</t>
  </si>
  <si>
    <t>George</t>
  </si>
  <si>
    <t>Germany</t>
  </si>
  <si>
    <t>2024-02-05</t>
  </si>
  <si>
    <t>Hannah</t>
  </si>
  <si>
    <t>France</t>
  </si>
  <si>
    <t>Monitor</t>
  </si>
  <si>
    <t>2024-02-13</t>
  </si>
  <si>
    <t>Ivan</t>
  </si>
  <si>
    <t>Smartwatch</t>
  </si>
  <si>
    <t>Julia</t>
  </si>
  <si>
    <t>2024-01-13</t>
  </si>
  <si>
    <t>Kevin</t>
  </si>
  <si>
    <t>2024-02-03</t>
  </si>
  <si>
    <t>Laura</t>
  </si>
  <si>
    <t>2024-01-16</t>
  </si>
  <si>
    <t>Michael</t>
  </si>
  <si>
    <t>2024-02-07</t>
  </si>
  <si>
    <t>Nina</t>
  </si>
  <si>
    <t>Camera</t>
  </si>
  <si>
    <t>2024-03-14</t>
  </si>
  <si>
    <t>Oscar</t>
  </si>
  <si>
    <t>2024-01-06</t>
  </si>
  <si>
    <t>Paula</t>
  </si>
  <si>
    <t>Headphones</t>
  </si>
  <si>
    <t>2024-01-11</t>
  </si>
  <si>
    <t>Quinn</t>
  </si>
  <si>
    <t>Rachel</t>
  </si>
  <si>
    <t>2024-01-21</t>
  </si>
  <si>
    <t>Samuel</t>
  </si>
  <si>
    <t>2024-03-26</t>
  </si>
  <si>
    <t>Tina</t>
  </si>
  <si>
    <t>2024-03-18</t>
  </si>
  <si>
    <t>Umar</t>
  </si>
  <si>
    <t>2024-02-01</t>
  </si>
  <si>
    <t>Vera</t>
  </si>
  <si>
    <t>2024-02-04</t>
  </si>
  <si>
    <t>William</t>
  </si>
  <si>
    <t>2024-01-29</t>
  </si>
  <si>
    <t>Xena</t>
  </si>
  <si>
    <t>2024-01-05</t>
  </si>
  <si>
    <t>Yusuf</t>
  </si>
  <si>
    <t>2024-01-09</t>
  </si>
  <si>
    <t>Zara</t>
  </si>
  <si>
    <t>Aaron</t>
  </si>
  <si>
    <t>2024-03-23</t>
  </si>
  <si>
    <t>Bella</t>
  </si>
  <si>
    <t>2024-01-18</t>
  </si>
  <si>
    <t>Carlos</t>
  </si>
  <si>
    <t>2024-03-09</t>
  </si>
  <si>
    <t>Summary Statistics</t>
  </si>
  <si>
    <t>Metric</t>
  </si>
  <si>
    <t>Value</t>
  </si>
  <si>
    <t>Total Customers</t>
  </si>
  <si>
    <t>Average Age</t>
  </si>
  <si>
    <t>Average Annual Income</t>
  </si>
  <si>
    <t>Max Annual Income</t>
  </si>
  <si>
    <t>Min Annual Income</t>
  </si>
  <si>
    <t>Most Purchased Product</t>
  </si>
  <si>
    <t>Annual_Income</t>
  </si>
  <si>
    <t>Product_Purchased</t>
  </si>
  <si>
    <t>Purchase_Date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</si>
</sst>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3"/>
      <color rgb="FF1F4E79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center"/>
    </xf>
    <xf numFmtId="0" fontId="3" fillId="0" borderId="0" xfId="0" applyFont="1"/>
    <xf numFmtId="0" fontId="4" fillId="0" borderId="1" xfId="0" applyFont="1" applyBorder="1"/>
    <xf numFmtId="0" fontId="2" fillId="0" borderId="1" xfId="0" applyFont="1" applyBorder="1"/>
    <xf numFmtId="164" fontId="2" fillId="0" borderId="1" xfId="0" applyNumberFormat="1" applyFont="1" applyBorder="1"/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pane ySplit="1" topLeftCell="A2" activePane="bottomLeft" state="frozen"/>
      <selection pane="bottomLeft" activeCell="H1" sqref="H1"/>
    </sheetView>
  </sheetViews>
  <sheetFormatPr defaultRowHeight="14.4" x14ac:dyDescent="0.3"/>
  <cols>
    <col min="1" max="1" width="21.5546875" customWidth="1"/>
    <col min="2" max="2" width="14" customWidth="1"/>
    <col min="3" max="3" width="12.109375" customWidth="1"/>
    <col min="4" max="4" width="14.6640625" customWidth="1"/>
    <col min="5" max="5" width="14" customWidth="1"/>
    <col min="6" max="6" width="23.21875" customWidth="1"/>
    <col min="7" max="7" width="24.109375" customWidth="1"/>
    <col min="8" max="8" width="21.109375" customWidth="1"/>
  </cols>
  <sheetData>
    <row r="1" spans="1:8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87</v>
      </c>
      <c r="G1" s="1" t="s">
        <v>88</v>
      </c>
      <c r="H1" s="1" t="s">
        <v>89</v>
      </c>
    </row>
    <row r="2" spans="1:8" x14ac:dyDescent="0.3">
      <c r="A2" s="2">
        <v>1</v>
      </c>
      <c r="B2" s="3" t="s">
        <v>5</v>
      </c>
      <c r="C2" s="2">
        <v>28</v>
      </c>
      <c r="D2" s="2" t="s">
        <v>6</v>
      </c>
      <c r="E2" s="3" t="s">
        <v>7</v>
      </c>
      <c r="F2" s="4">
        <v>55000</v>
      </c>
      <c r="G2" s="3" t="s">
        <v>8</v>
      </c>
      <c r="H2" s="3" t="s">
        <v>9</v>
      </c>
    </row>
    <row r="3" spans="1:8" x14ac:dyDescent="0.3">
      <c r="A3" s="5">
        <v>2</v>
      </c>
      <c r="B3" s="6" t="s">
        <v>10</v>
      </c>
      <c r="C3" s="5">
        <v>35</v>
      </c>
      <c r="D3" s="5" t="s">
        <v>11</v>
      </c>
      <c r="E3" s="6" t="s">
        <v>12</v>
      </c>
      <c r="F3" s="7">
        <v>62000</v>
      </c>
      <c r="G3" s="6" t="s">
        <v>13</v>
      </c>
      <c r="H3" s="6" t="s">
        <v>14</v>
      </c>
    </row>
    <row r="4" spans="1:8" x14ac:dyDescent="0.3">
      <c r="A4" s="2">
        <v>3</v>
      </c>
      <c r="B4" s="3" t="s">
        <v>15</v>
      </c>
      <c r="C4" s="2">
        <v>22</v>
      </c>
      <c r="D4" s="2" t="s">
        <v>11</v>
      </c>
      <c r="E4" s="3" t="s">
        <v>16</v>
      </c>
      <c r="F4" s="4">
        <v>30000</v>
      </c>
      <c r="G4" s="3" t="s">
        <v>17</v>
      </c>
      <c r="H4" s="3" t="s">
        <v>18</v>
      </c>
    </row>
    <row r="5" spans="1:8" x14ac:dyDescent="0.3">
      <c r="A5" s="5">
        <v>4</v>
      </c>
      <c r="B5" s="6" t="s">
        <v>19</v>
      </c>
      <c r="C5" s="5">
        <v>20</v>
      </c>
      <c r="D5" s="5" t="s">
        <v>6</v>
      </c>
      <c r="E5" s="6" t="s">
        <v>7</v>
      </c>
      <c r="F5" s="7">
        <v>46000</v>
      </c>
      <c r="G5" s="6" t="s">
        <v>13</v>
      </c>
      <c r="H5" s="6" t="s">
        <v>20</v>
      </c>
    </row>
    <row r="6" spans="1:8" x14ac:dyDescent="0.3">
      <c r="A6" s="2">
        <v>5</v>
      </c>
      <c r="B6" s="3" t="s">
        <v>21</v>
      </c>
      <c r="C6" s="2">
        <v>32</v>
      </c>
      <c r="D6" s="2" t="s">
        <v>11</v>
      </c>
      <c r="E6" s="3" t="s">
        <v>22</v>
      </c>
      <c r="F6" s="4">
        <v>74000</v>
      </c>
      <c r="G6" s="3" t="s">
        <v>23</v>
      </c>
      <c r="H6" s="3" t="s">
        <v>24</v>
      </c>
    </row>
    <row r="7" spans="1:8" x14ac:dyDescent="0.3">
      <c r="A7" s="5">
        <v>6</v>
      </c>
      <c r="B7" s="6" t="s">
        <v>25</v>
      </c>
      <c r="C7" s="5">
        <v>53</v>
      </c>
      <c r="D7" s="5" t="s">
        <v>6</v>
      </c>
      <c r="E7" s="6" t="s">
        <v>26</v>
      </c>
      <c r="F7" s="7">
        <v>21000</v>
      </c>
      <c r="G7" s="6" t="s">
        <v>27</v>
      </c>
      <c r="H7" s="6" t="s">
        <v>28</v>
      </c>
    </row>
    <row r="8" spans="1:8" x14ac:dyDescent="0.3">
      <c r="A8" s="2">
        <v>7</v>
      </c>
      <c r="B8" s="3" t="s">
        <v>29</v>
      </c>
      <c r="C8" s="2">
        <v>32</v>
      </c>
      <c r="D8" s="2" t="s">
        <v>11</v>
      </c>
      <c r="E8" s="3" t="s">
        <v>30</v>
      </c>
      <c r="F8" s="4">
        <v>63000</v>
      </c>
      <c r="G8" s="3" t="s">
        <v>23</v>
      </c>
      <c r="H8" s="3" t="s">
        <v>31</v>
      </c>
    </row>
    <row r="9" spans="1:8" x14ac:dyDescent="0.3">
      <c r="A9" s="5">
        <v>8</v>
      </c>
      <c r="B9" s="6" t="s">
        <v>32</v>
      </c>
      <c r="C9" s="5">
        <v>18</v>
      </c>
      <c r="D9" s="5" t="s">
        <v>6</v>
      </c>
      <c r="E9" s="6" t="s">
        <v>33</v>
      </c>
      <c r="F9" s="7">
        <v>42000</v>
      </c>
      <c r="G9" s="6" t="s">
        <v>34</v>
      </c>
      <c r="H9" s="6" t="s">
        <v>35</v>
      </c>
    </row>
    <row r="10" spans="1:8" x14ac:dyDescent="0.3">
      <c r="A10" s="2">
        <v>9</v>
      </c>
      <c r="B10" s="3" t="s">
        <v>36</v>
      </c>
      <c r="C10" s="2">
        <v>35</v>
      </c>
      <c r="D10" s="2" t="s">
        <v>11</v>
      </c>
      <c r="E10" s="3" t="s">
        <v>12</v>
      </c>
      <c r="F10" s="4">
        <v>49000</v>
      </c>
      <c r="G10" s="3" t="s">
        <v>37</v>
      </c>
      <c r="H10" s="3" t="s">
        <v>35</v>
      </c>
    </row>
    <row r="11" spans="1:8" x14ac:dyDescent="0.3">
      <c r="A11" s="5">
        <v>10</v>
      </c>
      <c r="B11" s="6" t="s">
        <v>38</v>
      </c>
      <c r="C11" s="5">
        <v>24</v>
      </c>
      <c r="D11" s="5" t="s">
        <v>6</v>
      </c>
      <c r="E11" s="6" t="s">
        <v>16</v>
      </c>
      <c r="F11" s="7">
        <v>35000</v>
      </c>
      <c r="G11" s="6" t="s">
        <v>34</v>
      </c>
      <c r="H11" s="6" t="s">
        <v>39</v>
      </c>
    </row>
    <row r="12" spans="1:8" x14ac:dyDescent="0.3">
      <c r="A12" s="2">
        <v>11</v>
      </c>
      <c r="B12" s="3" t="s">
        <v>40</v>
      </c>
      <c r="C12" s="2">
        <v>40</v>
      </c>
      <c r="D12" s="2" t="s">
        <v>11</v>
      </c>
      <c r="E12" s="3" t="s">
        <v>7</v>
      </c>
      <c r="F12" s="4">
        <v>67000</v>
      </c>
      <c r="G12" s="3" t="s">
        <v>23</v>
      </c>
      <c r="H12" s="3" t="s">
        <v>41</v>
      </c>
    </row>
    <row r="13" spans="1:8" x14ac:dyDescent="0.3">
      <c r="A13" s="5">
        <v>12</v>
      </c>
      <c r="B13" s="6" t="s">
        <v>42</v>
      </c>
      <c r="C13" s="5">
        <v>20</v>
      </c>
      <c r="D13" s="5" t="s">
        <v>6</v>
      </c>
      <c r="E13" s="6" t="s">
        <v>22</v>
      </c>
      <c r="F13" s="7">
        <v>71000</v>
      </c>
      <c r="G13" s="6" t="s">
        <v>27</v>
      </c>
      <c r="H13" s="6" t="s">
        <v>43</v>
      </c>
    </row>
    <row r="14" spans="1:8" x14ac:dyDescent="0.3">
      <c r="A14" s="2">
        <v>13</v>
      </c>
      <c r="B14" s="3" t="s">
        <v>44</v>
      </c>
      <c r="C14" s="2">
        <v>42</v>
      </c>
      <c r="D14" s="2" t="s">
        <v>11</v>
      </c>
      <c r="E14" s="3" t="s">
        <v>26</v>
      </c>
      <c r="F14" s="4">
        <v>17000</v>
      </c>
      <c r="G14" s="3" t="s">
        <v>27</v>
      </c>
      <c r="H14" s="3" t="s">
        <v>45</v>
      </c>
    </row>
    <row r="15" spans="1:8" x14ac:dyDescent="0.3">
      <c r="A15" s="5">
        <v>14</v>
      </c>
      <c r="B15" s="6" t="s">
        <v>46</v>
      </c>
      <c r="C15" s="5">
        <v>58</v>
      </c>
      <c r="D15" s="5" t="s">
        <v>6</v>
      </c>
      <c r="E15" s="6" t="s">
        <v>30</v>
      </c>
      <c r="F15" s="7">
        <v>74000</v>
      </c>
      <c r="G15" s="6" t="s">
        <v>47</v>
      </c>
      <c r="H15" s="6" t="s">
        <v>48</v>
      </c>
    </row>
    <row r="16" spans="1:8" x14ac:dyDescent="0.3">
      <c r="A16" s="2">
        <v>15</v>
      </c>
      <c r="B16" s="3" t="s">
        <v>49</v>
      </c>
      <c r="C16" s="2">
        <v>30</v>
      </c>
      <c r="D16" s="2" t="s">
        <v>11</v>
      </c>
      <c r="E16" s="3" t="s">
        <v>7</v>
      </c>
      <c r="F16" s="4">
        <v>90000</v>
      </c>
      <c r="G16" s="3" t="s">
        <v>13</v>
      </c>
      <c r="H16" s="3" t="s">
        <v>50</v>
      </c>
    </row>
    <row r="17" spans="1:8" x14ac:dyDescent="0.3">
      <c r="A17" s="5">
        <v>16</v>
      </c>
      <c r="B17" s="6" t="s">
        <v>51</v>
      </c>
      <c r="C17" s="5">
        <v>60</v>
      </c>
      <c r="D17" s="5" t="s">
        <v>6</v>
      </c>
      <c r="E17" s="6" t="s">
        <v>12</v>
      </c>
      <c r="F17" s="7">
        <v>54000</v>
      </c>
      <c r="G17" s="6" t="s">
        <v>52</v>
      </c>
      <c r="H17" s="6" t="s">
        <v>53</v>
      </c>
    </row>
    <row r="18" spans="1:8" x14ac:dyDescent="0.3">
      <c r="A18" s="2">
        <v>17</v>
      </c>
      <c r="B18" s="3" t="s">
        <v>54</v>
      </c>
      <c r="C18" s="2">
        <v>32</v>
      </c>
      <c r="D18" s="2" t="s">
        <v>11</v>
      </c>
      <c r="E18" s="3" t="s">
        <v>33</v>
      </c>
      <c r="F18" s="4">
        <v>38000</v>
      </c>
      <c r="G18" s="3" t="s">
        <v>34</v>
      </c>
      <c r="H18" s="3" t="s">
        <v>31</v>
      </c>
    </row>
    <row r="19" spans="1:8" x14ac:dyDescent="0.3">
      <c r="A19" s="5">
        <v>18</v>
      </c>
      <c r="B19" s="6" t="s">
        <v>55</v>
      </c>
      <c r="C19" s="5">
        <v>47</v>
      </c>
      <c r="D19" s="5" t="s">
        <v>6</v>
      </c>
      <c r="E19" s="6" t="s">
        <v>16</v>
      </c>
      <c r="F19" s="7">
        <v>70000</v>
      </c>
      <c r="G19" s="6" t="s">
        <v>47</v>
      </c>
      <c r="H19" s="6" t="s">
        <v>56</v>
      </c>
    </row>
    <row r="20" spans="1:8" x14ac:dyDescent="0.3">
      <c r="A20" s="2">
        <v>19</v>
      </c>
      <c r="B20" s="3" t="s">
        <v>57</v>
      </c>
      <c r="C20" s="2">
        <v>41</v>
      </c>
      <c r="D20" s="2" t="s">
        <v>11</v>
      </c>
      <c r="E20" s="3" t="s">
        <v>7</v>
      </c>
      <c r="F20" s="4">
        <v>67000</v>
      </c>
      <c r="G20" s="3" t="s">
        <v>37</v>
      </c>
      <c r="H20" s="3" t="s">
        <v>58</v>
      </c>
    </row>
    <row r="21" spans="1:8" x14ac:dyDescent="0.3">
      <c r="A21" s="5">
        <v>20</v>
      </c>
      <c r="B21" s="6" t="s">
        <v>59</v>
      </c>
      <c r="C21" s="5">
        <v>35</v>
      </c>
      <c r="D21" s="5" t="s">
        <v>6</v>
      </c>
      <c r="E21" s="6" t="s">
        <v>26</v>
      </c>
      <c r="F21" s="7">
        <v>37000</v>
      </c>
      <c r="G21" s="6" t="s">
        <v>13</v>
      </c>
      <c r="H21" s="6" t="s">
        <v>60</v>
      </c>
    </row>
    <row r="22" spans="1:8" x14ac:dyDescent="0.3">
      <c r="A22" s="2">
        <v>21</v>
      </c>
      <c r="B22" s="3" t="s">
        <v>61</v>
      </c>
      <c r="C22" s="2">
        <v>58</v>
      </c>
      <c r="D22" s="2" t="s">
        <v>11</v>
      </c>
      <c r="E22" s="3" t="s">
        <v>12</v>
      </c>
      <c r="F22" s="4">
        <v>50000</v>
      </c>
      <c r="G22" s="3" t="s">
        <v>27</v>
      </c>
      <c r="H22" s="3" t="s">
        <v>62</v>
      </c>
    </row>
    <row r="23" spans="1:8" x14ac:dyDescent="0.3">
      <c r="A23" s="5">
        <v>22</v>
      </c>
      <c r="B23" s="6" t="s">
        <v>63</v>
      </c>
      <c r="C23" s="5">
        <v>28</v>
      </c>
      <c r="D23" s="5" t="s">
        <v>6</v>
      </c>
      <c r="E23" s="6" t="s">
        <v>22</v>
      </c>
      <c r="F23" s="7">
        <v>71000</v>
      </c>
      <c r="G23" s="6" t="s">
        <v>34</v>
      </c>
      <c r="H23" s="6" t="s">
        <v>64</v>
      </c>
    </row>
    <row r="24" spans="1:8" x14ac:dyDescent="0.3">
      <c r="A24" s="2">
        <v>23</v>
      </c>
      <c r="B24" s="3" t="s">
        <v>65</v>
      </c>
      <c r="C24" s="2">
        <v>58</v>
      </c>
      <c r="D24" s="2" t="s">
        <v>11</v>
      </c>
      <c r="E24" s="3" t="s">
        <v>30</v>
      </c>
      <c r="F24" s="4">
        <v>79000</v>
      </c>
      <c r="G24" s="3" t="s">
        <v>27</v>
      </c>
      <c r="H24" s="3" t="s">
        <v>66</v>
      </c>
    </row>
    <row r="25" spans="1:8" x14ac:dyDescent="0.3">
      <c r="A25" s="5">
        <v>24</v>
      </c>
      <c r="B25" s="6" t="s">
        <v>67</v>
      </c>
      <c r="C25" s="5">
        <v>38</v>
      </c>
      <c r="D25" s="5" t="s">
        <v>6</v>
      </c>
      <c r="E25" s="6" t="s">
        <v>7</v>
      </c>
      <c r="F25" s="7">
        <v>48000</v>
      </c>
      <c r="G25" s="6" t="s">
        <v>37</v>
      </c>
      <c r="H25" s="6" t="s">
        <v>68</v>
      </c>
    </row>
    <row r="26" spans="1:8" x14ac:dyDescent="0.3">
      <c r="A26" s="2">
        <v>25</v>
      </c>
      <c r="B26" s="3" t="s">
        <v>69</v>
      </c>
      <c r="C26" s="2">
        <v>38</v>
      </c>
      <c r="D26" s="2" t="s">
        <v>11</v>
      </c>
      <c r="E26" s="3" t="s">
        <v>33</v>
      </c>
      <c r="F26" s="4">
        <v>57000</v>
      </c>
      <c r="G26" s="3" t="s">
        <v>52</v>
      </c>
      <c r="H26" s="3" t="s">
        <v>70</v>
      </c>
    </row>
    <row r="27" spans="1:8" x14ac:dyDescent="0.3">
      <c r="A27" s="5">
        <v>26</v>
      </c>
      <c r="B27" s="6" t="s">
        <v>71</v>
      </c>
      <c r="C27" s="5">
        <v>31</v>
      </c>
      <c r="D27" s="5" t="s">
        <v>6</v>
      </c>
      <c r="E27" s="6" t="s">
        <v>16</v>
      </c>
      <c r="F27" s="7">
        <v>66000</v>
      </c>
      <c r="G27" s="6" t="s">
        <v>47</v>
      </c>
      <c r="H27" s="6" t="s">
        <v>20</v>
      </c>
    </row>
    <row r="28" spans="1:8" x14ac:dyDescent="0.3">
      <c r="A28" s="2">
        <v>27</v>
      </c>
      <c r="B28" s="3" t="s">
        <v>72</v>
      </c>
      <c r="C28" s="2">
        <v>59</v>
      </c>
      <c r="D28" s="2" t="s">
        <v>11</v>
      </c>
      <c r="E28" s="3" t="s">
        <v>12</v>
      </c>
      <c r="F28" s="4">
        <v>71000</v>
      </c>
      <c r="G28" s="3" t="s">
        <v>34</v>
      </c>
      <c r="H28" s="3" t="s">
        <v>73</v>
      </c>
    </row>
    <row r="29" spans="1:8" x14ac:dyDescent="0.3">
      <c r="A29" s="5">
        <v>28</v>
      </c>
      <c r="B29" s="6" t="s">
        <v>74</v>
      </c>
      <c r="C29" s="5">
        <v>47</v>
      </c>
      <c r="D29" s="5" t="s">
        <v>6</v>
      </c>
      <c r="E29" s="6" t="s">
        <v>7</v>
      </c>
      <c r="F29" s="7">
        <v>54000</v>
      </c>
      <c r="G29" s="6" t="s">
        <v>52</v>
      </c>
      <c r="H29" s="6" t="s">
        <v>75</v>
      </c>
    </row>
    <row r="30" spans="1:8" x14ac:dyDescent="0.3">
      <c r="A30" s="2">
        <v>29</v>
      </c>
      <c r="B30" s="3" t="s">
        <v>76</v>
      </c>
      <c r="C30" s="2">
        <v>33</v>
      </c>
      <c r="D30" s="2" t="s">
        <v>11</v>
      </c>
      <c r="E30" s="3" t="s">
        <v>26</v>
      </c>
      <c r="F30" s="4">
        <v>38000</v>
      </c>
      <c r="G30" s="3" t="s">
        <v>27</v>
      </c>
      <c r="H30" s="3" t="s">
        <v>77</v>
      </c>
    </row>
    <row r="31" spans="1:8" x14ac:dyDescent="0.3">
      <c r="A31" s="5">
        <v>30</v>
      </c>
      <c r="B31" s="6" t="s">
        <v>19</v>
      </c>
      <c r="C31" s="5">
        <v>41</v>
      </c>
      <c r="D31" s="5" t="s">
        <v>6</v>
      </c>
      <c r="E31" s="6" t="s">
        <v>7</v>
      </c>
      <c r="F31" s="7">
        <v>67000</v>
      </c>
      <c r="G31" s="6" t="s">
        <v>8</v>
      </c>
      <c r="H31" s="6" t="s">
        <v>14</v>
      </c>
    </row>
  </sheetData>
  <autoFilter ref="A1:H3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3"/>
  <cols>
    <col min="1" max="1" width="25" customWidth="1"/>
    <col min="2" max="2" width="20" customWidth="1"/>
  </cols>
  <sheetData>
    <row r="1" spans="1:2" ht="16.8" x14ac:dyDescent="0.3">
      <c r="A1" s="8" t="s">
        <v>78</v>
      </c>
    </row>
    <row r="3" spans="1:2" x14ac:dyDescent="0.3">
      <c r="A3" s="1" t="s">
        <v>79</v>
      </c>
      <c r="B3" s="1" t="s">
        <v>80</v>
      </c>
    </row>
    <row r="4" spans="1:2" x14ac:dyDescent="0.3">
      <c r="A4" s="9" t="s">
        <v>81</v>
      </c>
      <c r="B4" s="10">
        <f>'Customer Data'!A31</f>
        <v>30</v>
      </c>
    </row>
    <row r="5" spans="1:2" x14ac:dyDescent="0.3">
      <c r="A5" s="9" t="s">
        <v>82</v>
      </c>
      <c r="B5" s="11">
        <f>AVERAGE('Customer Data'!C2:C31)</f>
        <v>37.833333333333336</v>
      </c>
    </row>
    <row r="6" spans="1:2" x14ac:dyDescent="0.3">
      <c r="A6" s="9" t="s">
        <v>83</v>
      </c>
      <c r="B6" s="12">
        <f>AVERAGE('Customer Data'!F2:F31)</f>
        <v>55433.333333333336</v>
      </c>
    </row>
    <row r="7" spans="1:2" x14ac:dyDescent="0.3">
      <c r="A7" s="9" t="s">
        <v>84</v>
      </c>
      <c r="B7" s="12">
        <f>MAX('Customer Data'!F2:F31)</f>
        <v>90000</v>
      </c>
    </row>
    <row r="8" spans="1:2" x14ac:dyDescent="0.3">
      <c r="A8" s="9" t="s">
        <v>85</v>
      </c>
      <c r="B8" s="12">
        <f>MIN('Customer Data'!F2:F31)</f>
        <v>17000</v>
      </c>
    </row>
    <row r="9" spans="1:2" x14ac:dyDescent="0.3">
      <c r="A9" s="9" t="s">
        <v>86</v>
      </c>
      <c r="B9" s="10" t="e">
        <f>INDEX('Customer Data'!G2:G31,MATCH(MAX(COUNTIF('Customer Data'!G2:G31,'Customer Data'!G2:G31)),COUNTIF('Customer Data'!G2:G31,'Customer Data'!G2:G31),0))</f>
        <v>#N/A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Devika</dc:creator>
  <cp:lastModifiedBy>Devika Ramachandran</cp:lastModifiedBy>
  <dcterms:created xsi:type="dcterms:W3CDTF">2026-05-04T06:22:23Z</dcterms:created>
  <dcterms:modified xsi:type="dcterms:W3CDTF">2026-05-04T06:55:04Z</dcterms:modified>
</cp:coreProperties>
</file>